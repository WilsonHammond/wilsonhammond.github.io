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ables/table1.xml" ContentType="application/vnd.openxmlformats-officedocument.spreadsheetml.table+xml"/>
  <Override PartName="/xl/worksheets/sheet3.xml" ContentType="application/vnd.openxmlformats-officedocument.spreadsheetml.worksheet+xml"/>
  <Override PartName="/xl/tables/table2.xml" ContentType="application/vnd.openxmlformats-officedocument.spreadsheetml.table+xml"/>
  <Override PartName="/xl/worksheets/sheet4.xml" ContentType="application/vnd.openxmlformats-officedocument.spreadsheetml.worksheet+xml"/>
  <Override PartName="/xl/tables/table3.xml" ContentType="application/vnd.openxmlformats-officedocument.spreadsheetml.table+xml"/>
  <Override PartName="/xl/worksheets/sheet5.xml" ContentType="application/vnd.openxmlformats-officedocument.spreadsheetml.worksheet+xml"/>
  <Override PartName="/xl/tables/table4.xml" ContentType="application/vnd.openxmlformats-officedocument.spreadsheetml.table+xml"/>
  <Override PartName="/xl/worksheets/sheet6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80a7c71659424ff0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Summary" sheetId="1" r:id="Rdb55e767ef7c4509"/>
    <x:sheet xmlns:r="http://schemas.openxmlformats.org/officeDocument/2006/relationships" name="Risk Register" sheetId="2" r:id="R6ebb68b3f82145b1"/>
    <x:sheet xmlns:r="http://schemas.openxmlformats.org/officeDocument/2006/relationships" name="Control Plan" sheetId="3" r:id="R86d95e8654994dcf"/>
    <x:sheet xmlns:r="http://schemas.openxmlformats.org/officeDocument/2006/relationships" name="Evidence Matrix" sheetId="4" r:id="R3a33b6297000474d"/>
    <x:sheet xmlns:r="http://schemas.openxmlformats.org/officeDocument/2006/relationships" name="Roadmap" sheetId="5" r:id="R4b1d4fcda01b4281"/>
    <x:sheet xmlns:r="http://schemas.openxmlformats.org/officeDocument/2006/relationships" name="References" sheetId="6" r:id="R32d0d17b458347a3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fonts count="3">
    <x:font>
      <x:sz val="11"/>
      <x:name val="Carlito"/>
    </x:font>
    <x:font>
      <x:b/>
      <x:sz val="11"/>
      <x:color rgb="FFFFFF"/>
      <x:name val="Carlito"/>
    </x:font>
    <x:font>
      <x:b/>
      <x:sz val="16"/>
      <x:color rgb="FFFFFF"/>
      <x:name val="Carlito"/>
    </x:font>
  </x:fonts>
  <x:fills count="4">
    <x:fill>
      <x:patternFill patternType="none"/>
    </x:fill>
    <x:fill>
      <x:patternFill patternType="gray125"/>
    </x:fill>
    <x:fill>
      <x:patternFill patternType="solid">
        <x:fgColor rgb="1E3A8A"/>
      </x:patternFill>
    </x:fill>
    <x:fill>
      <x:patternFill patternType="solid">
        <x:fgColor rgb="0F172A"/>
      </x:patternFill>
    </x:fill>
  </x:fills>
  <x:borders count="2">
    <x:border/>
    <x:border/>
  </x:borders>
  <x:cellStyleXfs count="1">
    <x:xf numFmtId="0" fontId="0" fillId="0" borderId="0"/>
  </x:cellStyleXfs>
  <x:cellXfs count="26">
    <x:xf numFmtId="0" fontId="0" fillId="0" borderId="0" xfId="0"/>
    <x:xf numFmtId="0" fontId="0" fillId="0" borderId="1" xfId="0" applyNumberFormat="1" applyFont="1" applyFill="1" applyBorder="1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wrapText="1"/>
    </x:xf>
    <x:xf numFmtId="0" fontId="1" fillId="2" borderId="0" xfId="0" applyNumberFormat="1" applyFont="1" applyFill="1" applyBorder="1" applyAlignment="1">
      <x:alignment horizontal="center" wrapText="1"/>
    </x:xf>
    <x:xf numFmtId="0" fontId="1" fillId="2" borderId="0" xfId="0" applyNumberFormat="1" applyFont="1" applyFill="1" applyBorder="1" applyAlignment="1">
      <x:alignment horizontal="center" vertical="center" wrapText="1"/>
    </x:xf>
    <x:xf numFmtId="0" fontId="0" fillId="2" borderId="1" xfId="0" applyNumberFormat="1" applyFont="1" applyFill="1" applyBorder="1"/>
    <x:xf numFmtId="0" fontId="1" fillId="2" borderId="1" xfId="0" applyNumberFormat="1" applyFont="1" applyFill="1" applyBorder="1"/>
    <x:xf numFmtId="0" fontId="1" fillId="2" borderId="1" xfId="0" applyNumberFormat="1" applyFont="1" applyFill="1" applyBorder="1" applyAlignment="1">
      <x:alignment wrapText="1"/>
    </x:xf>
    <x:xf numFmtId="0" fontId="1" fillId="2" borderId="1" xfId="0" applyNumberFormat="1" applyFont="1" applyFill="1" applyBorder="1" applyAlignment="1">
      <x:alignment horizontal="center" wrapText="1"/>
    </x:xf>
    <x:xf numFmtId="0" fontId="1" fillId="2" borderId="1" xfId="0" applyNumberFormat="1" applyFont="1" applyFill="1" applyBorder="1" applyAlignment="1">
      <x:alignment horizontal="center" vertical="center" wrapText="1"/>
    </x:xf>
    <x:xf numFmtId="0" fontId="0" fillId="0" borderId="0" xfId="0" applyNumberFormat="1" applyFont="1" applyFill="1" applyBorder="1" applyAlignment="1">
      <x:alignment wrapText="1"/>
    </x:xf>
    <x:xf numFmtId="0" fontId="0" fillId="0" borderId="1" xfId="0" applyNumberFormat="1" applyFont="1" applyFill="1" applyBorder="1" applyAlignment="1">
      <x:alignment wrapText="1"/>
    </x:xf>
    <x:xf numFmtId="0" fontId="1" fillId="2" borderId="0" xfId="0" applyNumberFormat="1" applyFont="1" applyFill="1" applyBorder="1" applyAlignment="1">
      <x:alignment horizontal="center" vertical="top" wrapText="1"/>
    </x:xf>
    <x:xf numFmtId="0" fontId="0" fillId="0" borderId="0" xfId="0" applyNumberFormat="1" applyFont="1" applyFill="1" applyBorder="1" applyAlignment="1">
      <x:alignment vertical="top" wrapText="1"/>
    </x:xf>
    <x:xf numFmtId="0" fontId="1" fillId="2" borderId="1" xfId="0" applyNumberFormat="1" applyFont="1" applyFill="1" applyBorder="1" applyAlignment="1">
      <x:alignment horizontal="center" vertical="top" wrapText="1"/>
    </x:xf>
    <x:xf numFmtId="0" fontId="0" fillId="0" borderId="1" xfId="0" applyNumberFormat="1" applyFont="1" applyFill="1" applyBorder="1" applyAlignment="1">
      <x:alignment vertical="top" wrapText="1"/>
    </x:xf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2" fillId="3" borderId="0" xfId="0" applyNumberFormat="1" applyFont="1" applyFill="1" applyBorder="1" applyAlignment="1">
      <x:alignment horizontal="center"/>
    </x:xf>
    <x:xf numFmtId="0" fontId="0" fillId="3" borderId="1" xfId="0" applyNumberFormat="1" applyFont="1" applyFill="1" applyBorder="1"/>
    <x:xf numFmtId="0" fontId="2" fillId="3" borderId="1" xfId="0" applyNumberFormat="1" applyFont="1" applyFill="1" applyBorder="1"/>
    <x:xf numFmtId="0" fontId="2" fillId="3" borderId="1" xfId="0" applyNumberFormat="1" applyFont="1" applyFill="1" applyBorder="1" applyAlignment="1">
      <x:alignment horizontal="center"/>
    </x:xf>
    <x:xf numFmtId="0" fontId="1" fillId="2" borderId="0" xfId="0" applyNumberFormat="1" applyFont="1" applyFill="1" applyBorder="1" applyAlignment="1">
      <x:alignment horizontal="center"/>
    </x:xf>
    <x:xf numFmtId="0" fontId="1" fillId="2" borderId="1" xfId="0" applyNumberFormat="1" applyFont="1" applyFill="1" applyBorder="1" applyAlignment="1">
      <x:alignment horizontal="center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21d6038f811d438b" /><Relationship Type="http://schemas.openxmlformats.org/officeDocument/2006/relationships/theme" Target="/xl/theme/theme1.xml" Id="R8e7dfbdbf8e14067" /><Relationship Type="http://schemas.openxmlformats.org/officeDocument/2006/relationships/sharedStrings" Target="/xl/sharedStrings.xml" Id="Rb68b9c97d7bb4589" /><Relationship Type="http://schemas.openxmlformats.org/officeDocument/2006/relationships/worksheet" Target="/xl/worksheets/sheet1.xml" Id="Rdb55e767ef7c4509" /><Relationship Type="http://schemas.openxmlformats.org/officeDocument/2006/relationships/worksheet" Target="/xl/worksheets/sheet2.xml" Id="R6ebb68b3f82145b1" /><Relationship Type="http://schemas.openxmlformats.org/officeDocument/2006/relationships/worksheet" Target="/xl/worksheets/sheet3.xml" Id="R86d95e8654994dcf" /><Relationship Type="http://schemas.openxmlformats.org/officeDocument/2006/relationships/worksheet" Target="/xl/worksheets/sheet4.xml" Id="R3a33b6297000474d" /><Relationship Type="http://schemas.openxmlformats.org/officeDocument/2006/relationships/worksheet" Target="/xl/worksheets/sheet5.xml" Id="R4b1d4fcda01b4281" /><Relationship Type="http://schemas.openxmlformats.org/officeDocument/2006/relationships/worksheet" Target="/xl/worksheets/sheet6.xml" Id="R32d0d17b458347a3" /></Relationships>
</file>

<file path=xl/tables/table1.xml><?xml version="1.0" encoding="utf-8"?>
<x:table xmlns:x="http://schemas.openxmlformats.org/spreadsheetml/2006/main" id="1" name="RiskRegisterTable" displayName="RiskRegisterTable" ref="A1:N7" headerRowCount="1">
  <x:tableColumns count="14">
    <x:tableColumn id="1" name="Risk Area"/>
    <x:tableColumn id="2" name="Asset or Process at Risk"/>
    <x:tableColumn id="3" name="Triggering Event"/>
    <x:tableColumn id="4" name="Vulnerability"/>
    <x:tableColumn id="5" name="Existing Controls"/>
    <x:tableColumn id="6" name="Likelihood"/>
    <x:tableColumn id="7" name="Impact"/>
    <x:tableColumn id="8" name="Risk Score"/>
    <x:tableColumn id="9" name="Priority"/>
    <x:tableColumn id="10" name="Response"/>
    <x:tableColumn id="11" name="Recommended Treatment"/>
    <x:tableColumn id="12" name="Owner"/>
    <x:tableColumn id="13" name="Recovery Time Objective"/>
    <x:tableColumn id="14" name="Recovery Point Objective"/>
  </x:tableColumns>
  <x:tableStyleInfo name="TableStyleMedium2" showRowStripes="1"/>
</x:table>
</file>

<file path=xl/tables/table2.xml><?xml version="1.0" encoding="utf-8"?>
<x:table xmlns:x="http://schemas.openxmlformats.org/spreadsheetml/2006/main" id="2" name="ControlPlanTable" displayName="ControlPlanTable" ref="A1:H10" headerRowCount="1">
  <x:tableColumns count="8">
    <x:tableColumn id="1" name="Risk Area"/>
    <x:tableColumn id="2" name="Control Recommendation"/>
    <x:tableColumn id="3" name="CSF Function"/>
    <x:tableColumn id="4" name="CSF Category"/>
    <x:tableColumn id="5" name="Control Family"/>
    <x:tableColumn id="6" name="Evidence to Keep"/>
    <x:tableColumn id="7" name="Status"/>
    <x:tableColumn id="8" name="Owner"/>
  </x:tableColumns>
  <x:tableStyleInfo name="TableStyleMedium2" showRowStripes="1"/>
</x:table>
</file>

<file path=xl/tables/table3.xml><?xml version="1.0" encoding="utf-8"?>
<x:table xmlns:x="http://schemas.openxmlformats.org/spreadsheetml/2006/main" id="3" name="EvidenceMatrixTable" displayName="EvidenceMatrixTable" ref="A1:E7" headerRowCount="1">
  <x:tableColumns count="5">
    <x:tableColumn id="1" name="Evidence Artifact"/>
    <x:tableColumn id="2" name="Purpose"/>
    <x:tableColumn id="3" name="Review Rhythm"/>
    <x:tableColumn id="4" name="Related Risk"/>
    <x:tableColumn id="5" name="Storage Note"/>
  </x:tableColumns>
  <x:tableStyleInfo name="TableStyleMedium2" showRowStripes="1"/>
</x:table>
</file>

<file path=xl/tables/table4.xml><?xml version="1.0" encoding="utf-8"?>
<x:table xmlns:x="http://schemas.openxmlformats.org/spreadsheetml/2006/main" id="4" name="RoadmapTable" displayName="RoadmapTable" ref="A1:D4" headerRowCount="1">
  <x:tableColumns count="4">
    <x:tableColumn id="1" name="Timeframe"/>
    <x:tableColumn id="2" name="Objective"/>
    <x:tableColumn id="3" name="Actions"/>
    <x:tableColumn id="4" name="Success Evidence"/>
  </x:tableColumns>
  <x:tableStyleInfo name="TableStyleMedium2" showRowStripes="1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solidFill>
          <a:schemeClr val="dk1"/>
        </a:solidFill>
        <a:solidFill>
          <a:schemeClr val="accent1"/>
        </a:soli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2.xml.rels>&#65279;<?xml version="1.0" encoding="utf-8"?><Relationships xmlns="http://schemas.openxmlformats.org/package/2006/relationships"><Relationship Type="http://schemas.openxmlformats.org/officeDocument/2006/relationships/table" Target="/xl/tables/table1.xml" Id="Rd4a7d6168eb0456a" /></Relationships>
</file>

<file path=xl/worksheets/_rels/sheet3.xml.rels>&#65279;<?xml version="1.0" encoding="utf-8"?><Relationships xmlns="http://schemas.openxmlformats.org/package/2006/relationships"><Relationship Type="http://schemas.openxmlformats.org/officeDocument/2006/relationships/table" Target="/xl/tables/table2.xml" Id="Rcd66f4c92d1844cb" /></Relationships>
</file>

<file path=xl/worksheets/_rels/sheet4.xml.rels>&#65279;<?xml version="1.0" encoding="utf-8"?><Relationships xmlns="http://schemas.openxmlformats.org/package/2006/relationships"><Relationship Type="http://schemas.openxmlformats.org/officeDocument/2006/relationships/table" Target="/xl/tables/table3.xml" Id="Rb8bd1ec853704d2e" /></Relationships>
</file>

<file path=xl/worksheets/_rels/sheet5.xml.rels>&#65279;<?xml version="1.0" encoding="utf-8"?><Relationships xmlns="http://schemas.openxmlformats.org/package/2006/relationships"><Relationship Type="http://schemas.openxmlformats.org/officeDocument/2006/relationships/table" Target="/xl/tables/table4.xml" Id="Rf20855ba2e0d4e54" /></Relationships>
</file>

<file path=xl/worksheets/sheet1.xml><?xml version="1.0" encoding="utf-8"?>
<x:worksheet xmlns:x="http://schemas.openxmlformats.org/spreadsheetml/2006/main">
  <x:sheetFormatPr defaultRowHeight="15"/>
  <x:cols>
    <x:col min="1" max="1" width="22" hidden="0" customWidth="1"/>
    <x:col min="2" max="2" width="15" hidden="0" customWidth="1"/>
    <x:col min="3" max="3" width="46" hidden="0" customWidth="1"/>
    <x:col min="5" max="5" width="20" hidden="0" customWidth="1"/>
    <x:col min="6" max="6" width="12" hidden="0" customWidth="1"/>
    <x:col min="7" max="7" width="12" hidden="0" customWidth="1"/>
  </x:cols>
  <x:sheetData>
    <x:row r="1">
      <x:c r="A1" s="20" t="str">
        <x:v>Small Business Cyber Risk Assessment Dashboard</x:v>
      </x:c>
    </x:row>
    <x:row r="3">
      <x:c r="A3" s="5" t="str">
        <x:v>Metric</x:v>
      </x:c>
      <x:c r="B3" s="5" t="str">
        <x:v>Value</x:v>
      </x:c>
      <x:c r="C3" s="5" t="str">
        <x:v>Interpretation</x:v>
      </x:c>
      <x:c r="E3" s="5" t="str">
        <x:v>Risk Area</x:v>
      </x:c>
      <x:c r="F3" s="5" t="str">
        <x:v>Score</x:v>
      </x:c>
      <x:c r="G3" s="5" t="str">
        <x:v>Priority</x:v>
      </x:c>
    </x:row>
    <x:row r="4">
      <x:c r="A4" s="12" t="str">
        <x:v>Total Risks</x:v>
      </x:c>
      <x:c r="B4" s="12" t="n">
        <x:f>COUNTA('Risk Register'!A2:A7)</x:f>
        <x:v>6</x:v>
      </x:c>
      <x:c r="C4" s="12" t="str">
        <x:v>Complete risk set from scenario evidence</x:v>
      </x:c>
      <x:c r="E4" s="12" t="str">
        <x:v>Ordering Supplies</x:v>
      </x:c>
      <x:c r="F4" s="12" t="n">
        <x:f>'Risk Register'!H2</x:f>
        <x:v>12</x:v>
      </x:c>
      <x:c r="G4" s="12" t="str">
        <x:f>'Risk Register'!I2</x:f>
        <x:v>High</x:v>
      </x:c>
    </x:row>
    <x:row r="5">
      <x:c r="A5" s="12" t="str">
        <x:v>High Priority Risks</x:v>
      </x:c>
      <x:c r="B5" s="12" t="n">
        <x:f>COUNTIF('Risk Register'!I2:I7,"High")</x:f>
        <x:v>5</x:v>
      </x:c>
      <x:c r="C5" s="12" t="str">
        <x:v>Requires treatment planning</x:v>
      </x:c>
      <x:c r="E5" s="12" t="str">
        <x:v>Technology</x:v>
      </x:c>
      <x:c r="F5" s="12" t="n">
        <x:f>'Risk Register'!H3</x:f>
        <x:v>15</x:v>
      </x:c>
      <x:c r="G5" s="12" t="str">
        <x:f>'Risk Register'!I3</x:f>
        <x:v>High</x:v>
      </x:c>
    </x:row>
    <x:row r="6">
      <x:c r="A6" s="12" t="str">
        <x:v>Medium Priority Risks</x:v>
      </x:c>
      <x:c r="B6" s="12" t="n">
        <x:f>COUNTIF('Risk Register'!I2:I7,"Medium")</x:f>
        <x:v>1</x:v>
      </x:c>
      <x:c r="C6" s="12" t="str">
        <x:v>Track and manage</x:v>
      </x:c>
      <x:c r="E6" s="12" t="str">
        <x:v>Physical Security</x:v>
      </x:c>
      <x:c r="F6" s="12" t="n">
        <x:f>'Risk Register'!H4</x:f>
        <x:v>12</x:v>
      </x:c>
      <x:c r="G6" s="12" t="str">
        <x:f>'Risk Register'!I4</x:f>
        <x:v>High</x:v>
      </x:c>
    </x:row>
    <x:row r="7">
      <x:c r="A7" s="12" t="str">
        <x:v>Highest Score</x:v>
      </x:c>
      <x:c r="B7" s="12" t="n">
        <x:f>MAX('Risk Register'!H2:H7)</x:f>
        <x:v>16</x:v>
      </x:c>
      <x:c r="C7" s="12" t="str">
        <x:v>Largest combined likelihood and impact</x:v>
      </x:c>
      <x:c r="E7" s="12" t="str">
        <x:v>Asset Management</x:v>
      </x:c>
      <x:c r="F7" s="12" t="n">
        <x:f>'Risk Register'!H5</x:f>
        <x:v>16</x:v>
      </x:c>
      <x:c r="G7" s="12" t="str">
        <x:f>'Risk Register'!I5</x:f>
        <x:v>High</x:v>
      </x:c>
    </x:row>
    <x:row r="8">
      <x:c r="A8" s="12" t="str">
        <x:v>Average Score</x:v>
      </x:c>
      <x:c r="B8" s="12" t="n">
        <x:f>ROUND(AVERAGE('Risk Register'!H2:H7),1)</x:f>
        <x:v>13.3</x:v>
      </x:c>
      <x:c r="C8" s="12" t="str">
        <x:v>Overall portfolio risk intensity</x:v>
      </x:c>
      <x:c r="E8" s="12" t="str">
        <x:v>Insurance</x:v>
      </x:c>
      <x:c r="F8" s="12" t="n">
        <x:f>'Risk Register'!H6</x:f>
        <x:v>10</x:v>
      </x:c>
      <x:c r="G8" s="12" t="str">
        <x:f>'Risk Register'!I6</x:f>
        <x:v>Medium</x:v>
      </x:c>
    </x:row>
    <x:row r="9">
      <x:c r="E9" s="12" t="str">
        <x:v>Safety</x:v>
      </x:c>
      <x:c r="F9" s="12" t="n">
        <x:f>'Risk Register'!H7</x:f>
        <x:v>15</x:v>
      </x:c>
      <x:c r="G9" s="12" t="str">
        <x:f>'Risk Register'!I7</x:f>
        <x:v>High</x:v>
      </x:c>
    </x:row>
  </x:sheetData>
  <x:mergeCells>
    <x:mergeCell ref="A1:H1"/>
  </x:mergeCells>
  <x:conditionalFormatting sqref="F4:F9">
    <x:cfRule type="dataBar" priority="1">
      <x:dataBar>
        <x:cfvo type="min"/>
        <x:cfvo type="max"/>
        <x:color rgb="60A5FA"/>
      </x:dataBar>
      <x:extLst>
        <x:ext xmlns:x14="http://schemas.microsoft.com/office/spreadsheetml/2009/9/main" uri="{B025F937-C7B1-47D3-B67F-A62EFF666E3E}">
          <x14:id>{8213237C-262D-8CED-9257-E0A72B4BD1FC}</x14:id>
        </x:ext>
      </x:extLst>
    </x:cfRule>
  </x:conditionalFormatting>
  <x:pageMargins left="0.7" right="0.7" top="0.75" bottom="0.75" header="0.3" footer="0.3"/>
  <x:extLst>
    <x:ext xmlns:x14="http://schemas.microsoft.com/office/spreadsheetml/2009/9/main" xmlns:xm="http://schemas.microsoft.com/office/excel/2006/main" uri="{78C0D931-6437-407d-A8EE-F0AAD7539E65}">
      <x14:conditionalFormattings>
        <x14:conditionalFormatting>
          <x14:cfRule type="dataBar" priority="1" id="{8213237C-262D-8CED-9257-E0A72B4BD1FC}">
            <x14:dataBar gradient="1">
              <x14:cfvo type="min"/>
              <x14:cfvo type="max"/>
              <x14:fillColor rgb="60A5FA"/>
            </x14:dataBar>
          </x14:cfRule>
          <xm:sqref>F4:F9</xm:sqref>
        </x14:conditionalFormatting>
      </x14:conditionalFormattings>
    </x:ext>
  </x:extLst>
</x:worksheet>
</file>

<file path=xl/worksheets/sheet2.xml><?xml version="1.0" encoding="utf-8"?>
<x:worksheet xmlns:x="http://schemas.openxmlformats.org/spreadsheetml/2006/main">
  <x:sheetFormatPr defaultRowHeight="15"/>
  <x:cols>
    <x:col min="1" max="1" width="18" hidden="0" customWidth="1"/>
    <x:col min="2" max="2" width="28" hidden="0" customWidth="1"/>
    <x:col min="3" max="3" width="28" hidden="0" customWidth="1"/>
    <x:col min="4" max="4" width="28" hidden="0" customWidth="1"/>
    <x:col min="5" max="5" width="28" hidden="0" customWidth="1"/>
    <x:col min="6" max="6" width="10" hidden="0" customWidth="1"/>
    <x:col min="7" max="7" width="10" hidden="0" customWidth="1"/>
    <x:col min="8" max="8" width="10" hidden="0" customWidth="1"/>
    <x:col min="9" max="9" width="12" hidden="0" customWidth="1"/>
    <x:col min="10" max="10" width="12" hidden="0" customWidth="1"/>
    <x:col min="11" max="11" width="28" hidden="0" customWidth="1"/>
    <x:col min="12" max="12" width="28" hidden="0" customWidth="1"/>
    <x:col min="13" max="13" width="28" hidden="0" customWidth="1"/>
    <x:col min="14" max="14" width="28" hidden="0" customWidth="1"/>
  </x:cols>
  <x:sheetData>
    <x:row r="1">
      <x:c r="A1" s="14" t="str">
        <x:v>Risk Area</x:v>
      </x:c>
      <x:c r="B1" s="14" t="str">
        <x:v>Asset or Process at Risk</x:v>
      </x:c>
      <x:c r="C1" s="14" t="str">
        <x:v>Triggering Event</x:v>
      </x:c>
      <x:c r="D1" s="14" t="str">
        <x:v>Vulnerability</x:v>
      </x:c>
      <x:c r="E1" s="14" t="str">
        <x:v>Existing Controls</x:v>
      </x:c>
      <x:c r="F1" s="14" t="str">
        <x:v>Likelihood</x:v>
      </x:c>
      <x:c r="G1" s="14" t="str">
        <x:v>Impact</x:v>
      </x:c>
      <x:c r="H1" s="14" t="str">
        <x:v>Risk Score</x:v>
      </x:c>
      <x:c r="I1" s="14" t="str">
        <x:v>Priority</x:v>
      </x:c>
      <x:c r="J1" s="14" t="str">
        <x:v>Response</x:v>
      </x:c>
      <x:c r="K1" s="14" t="str">
        <x:v>Recommended Treatment</x:v>
      </x:c>
      <x:c r="L1" s="14" t="str">
        <x:v>Owner</x:v>
      </x:c>
      <x:c r="M1" s="14" t="str">
        <x:v>Recovery Time Objective</x:v>
      </x:c>
      <x:c r="N1" s="14" t="str">
        <x:v>Recovery Point Objective</x:v>
      </x:c>
    </x:row>
    <x:row r="2">
      <x:c r="A2" s="15" t="str">
        <x:v>Ordering Supplies</x:v>
      </x:c>
      <x:c r="B2" s="15" t="str">
        <x:v>Nutrients, organic pesticide, supplier availability, plant health, revenue inventory</x:v>
      </x:c>
      <x:c r="C2" s="15" t="str">
        <x:v>Supplier website outage, internet outage, stockout, shipping delay, drought related supply pressure</x:v>
      </x:c>
      <x:c r="D2" s="15" t="str">
        <x:v>Critical supplies are ordered in batches, but plant quality begins declining after 3 days without needed nutrients</x:v>
      </x:c>
      <x:c r="E2" s="15" t="str">
        <x:v>Amazon ordering, alternate online supplier, local farm and garden store, 3 month ordering cycle</x:v>
      </x:c>
      <x:c r="F2" s="15" t="n">
        <x:v>3</x:v>
      </x:c>
      <x:c r="G2" s="15" t="n">
        <x:v>4</x:v>
      </x:c>
      <x:c r="H2" s="15" t="n">
        <x:f>F2*G2</x:f>
        <x:v>12</x:v>
      </x:c>
      <x:c r="I2" s="15" t="str">
        <x:f>IF(H2&gt;=12,"High",IF(H2&gt;=8,"Medium","Low"))</x:f>
        <x:v>High</x:v>
      </x:c>
      <x:c r="J2" s="15" t="str">
        <x:v>Mitigate</x:v>
      </x:c>
      <x:c r="K2" s="15" t="str">
        <x:v>Set minimum stock thresholds, keep 7 day reserve, maintain alternate vendor contacts, review stock weekly, trigger local pickup after 1 business day of failed online ordering</x:v>
      </x:c>
      <x:c r="L2" s="15" t="str">
        <x:v>Business owners and inventory lead</x:v>
      </x:c>
      <x:c r="M2" s="15" t="str">
        <x:v>1 business day to restore ordering or begin substitute purchase</x:v>
      </x:c>
      <x:c r="N2" s="15" t="str">
        <x:v>Daily inventory visibility for critical supplies</x:v>
      </x:c>
    </x:row>
    <x:row r="3">
      <x:c r="A3" s="15" t="str">
        <x:v>Technology</x:v>
      </x:c>
      <x:c r="B3" s="15" t="str">
        <x:v>Cloud based point of sale, customer personally identifiable information, payment workflow, reporting, inventory updates</x:v>
      </x:c>
      <x:c r="C3" s="15" t="str">
        <x:v>Power outage, internet outage, laptop failure, hard drive failure, unavailable point of sale access, delayed local information technology repair</x:v>
      </x:c>
      <x:c r="D3" s="15" t="str">
        <x:v>Customer data and sales workflow depend on cloud access, while repair may take up to 1 week if parts are needed</x:v>
      </x:c>
      <x:c r="E3" s="15" t="str">
        <x:v>Backup laptop, paper based sales capture, local information technology repair vendor, generator support for selected operations</x:v>
      </x:c>
      <x:c r="F3" s="15" t="n">
        <x:v>3</x:v>
      </x:c>
      <x:c r="G3" s="15" t="n">
        <x:v>5</x:v>
      </x:c>
      <x:c r="H3" s="15" t="n">
        <x:f>F3*G3</x:f>
        <x:v>15</x:v>
      </x:c>
      <x:c r="I3" s="15" t="str">
        <x:f>IF(H3&gt;=12,"High",IF(H3&gt;=8,"Medium","Low"))</x:f>
        <x:v>High</x:v>
      </x:c>
      <x:c r="J3" s="15" t="str">
        <x:v>Mitigate</x:v>
      </x:c>
      <x:c r="K3" s="15" t="str">
        <x:v>Add cellular backup, require multifactor authentication, encrypt exported reports, secure outage forms in safe, reconcile sales daily, define service expectations with the local provider</x:v>
      </x:c>
      <x:c r="L3" s="15" t="str">
        <x:v>Cash register employee, business owners, local information technology provider</x:v>
      </x:c>
      <x:c r="M3" s="15" t="str">
        <x:v>4 hours to restore transaction capability through backup laptop or paper process</x:v>
      </x:c>
      <x:c r="N3" s="15" t="str">
        <x:v>Same day sales and customer records reconciled before close of business</x:v>
      </x:c>
    </x:row>
    <x:row r="4">
      <x:c r="A4" s="15" t="str">
        <x:v>Physical Security</x:v>
      </x:c>
      <x:c r="B4" s="15" t="str">
        <x:v>Cash register, safe, grow rooms, entrances, emergency exit, documents, employees, inventory</x:v>
      </x:c>
      <x:c r="C4" s="15" t="str">
        <x:v>Robbery, after hours intrusion, internet outage blocking video access, camera failure, physical attack, unauthorized entry</x:v>
      </x:c>
      <x:c r="D4" s="15" t="str">
        <x:v>Video is cloud stored, and smartphone access depends on internet availability</x:v>
      </x:c>
      <x:c r="E4" s="15" t="str">
        <x:v>Video doorbell, cameras, 6 month cloud storage, generator powered cameras, smartphone alerts, 800 pound safe, robbery procedures</x:v>
      </x:c>
      <x:c r="F4" s="15" t="n">
        <x:v>3</x:v>
      </x:c>
      <x:c r="G4" s="15" t="n">
        <x:v>4</x:v>
      </x:c>
      <x:c r="H4" s="15" t="n">
        <x:f>F4*G4</x:f>
        <x:v>12</x:v>
      </x:c>
      <x:c r="I4" s="15" t="str">
        <x:f>IF(H4&gt;=12,"High",IF(H4&gt;=8,"Medium","Low"))</x:f>
        <x:v>High</x:v>
      </x:c>
      <x:c r="J4" s="15" t="str">
        <x:v>Mitigate</x:v>
      </x:c>
      <x:c r="K4" s="15" t="str">
        <x:v>Add local camera storage, use uninterruptible power supply for network equipment, test cameras weekly, document robbery drills, review safe access privileges</x:v>
      </x:c>
      <x:c r="L4" s="15" t="str">
        <x:v>Business owners</x:v>
      </x:c>
      <x:c r="M4" s="15" t="str">
        <x:v>Immediate employee safety response, camera visibility restored within 24 hours</x:v>
      </x:c>
      <x:c r="N4" s="15" t="str">
        <x:v>Preserve last 24 hours of footage where technically possible</x:v>
      </x:c>
    </x:row>
    <x:row r="5">
      <x:c r="A5" s="15" t="str">
        <x:v>Asset Management</x:v>
      </x:c>
      <x:c r="B5" s="15" t="str">
        <x:v>Plant inventory, bonsai and shrub records, Department of Agriculture growth records, sales records, terminated plant records</x:v>
      </x:c>
      <x:c r="C5" s="15" t="str">
        <x:v>Manual entry error, missed sale update, unrecorded disease removal, system mismatch, inaccurate weekly reporting</x:v>
      </x:c>
      <x:c r="D5" s="15" t="str">
        <x:v>Inventory moves across 2 systems, beginning in Grow and Care and later entering the point of sale system</x:v>
      </x:c>
      <x:c r="E5" s="15" t="str">
        <x:v>Grow and Care software, point of sale inventory, termination reason comments, weekly reports, reason prompt when inventory is reduced</x:v>
      </x:c>
      <x:c r="F5" s="15" t="n">
        <x:v>4</x:v>
      </x:c>
      <x:c r="G5" s="15" t="n">
        <x:v>4</x:v>
      </x:c>
      <x:c r="H5" s="15" t="n">
        <x:f>F5*G5</x:f>
        <x:v>16</x:v>
      </x:c>
      <x:c r="I5" s="15" t="str">
        <x:f>IF(H5&gt;=12,"High",IF(H5&gt;=8,"Medium","Low"))</x:f>
        <x:v>High</x:v>
      </x:c>
      <x:c r="J5" s="15" t="str">
        <x:v>Mitigate</x:v>
      </x:c>
      <x:c r="K5" s="15" t="str">
        <x:v>Create daily closeout reconciliation, use unique plant identifiers, restrict inventory adjustments, review terminated items weekly, maintain owner approved correction log</x:v>
      </x:c>
      <x:c r="L5" s="15" t="str">
        <x:v>Business owners and plant care employees</x:v>
      </x:c>
      <x:c r="M5" s="15" t="str">
        <x:v>1 business day to reconcile critical inventory discrepancies</x:v>
      </x:c>
      <x:c r="N5" s="15" t="str">
        <x:v>Daily transaction and plant care updates preserved</x:v>
      </x:c>
    </x:row>
    <x:row r="6">
      <x:c r="A6" s="15" t="str">
        <x:v>Insurance</x:v>
      </x:c>
      <x:c r="B6" s="15" t="str">
        <x:v>Business continuity, revenue, inventory value, equipment, cash, customer data, workers compensation exposure, property protection</x:v>
      </x:c>
      <x:c r="C6" s="15" t="str">
        <x:v>Loss outside current coverage, inadequate limits, missing cyber or business interruption coverage, delayed claim documentation</x:v>
      </x:c>
      <x:c r="D6" s="15" t="str">
        <x:v>Interview evidence identifies water, technology, physical security, equipment, safety, and inventory exposure, but no specific insurance coverage is documented</x:v>
      </x:c>
      <x:c r="E6" s="15" t="str">
        <x:v>Safe storage, cameras, generator support, monthly safety reporting, inventory tracking</x:v>
      </x:c>
      <x:c r="F6" s="15" t="n">
        <x:v>2</x:v>
      </x:c>
      <x:c r="G6" s="15" t="n">
        <x:v>5</x:v>
      </x:c>
      <x:c r="H6" s="15" t="n">
        <x:f>F6*G6</x:f>
        <x:v>10</x:v>
      </x:c>
      <x:c r="I6" s="15" t="str">
        <x:f>IF(H6&gt;=12,"High",IF(H6&gt;=8,"Medium","Low"))</x:f>
        <x:v>Medium</x:v>
      </x:c>
      <x:c r="J6" s="15" t="str">
        <x:v>Transfer and Mitigate</x:v>
      </x:c>
      <x:c r="K6" s="15" t="str">
        <x:v>Perform annual insurance review covering property, inventory, business interruption, cyber liability, workers compensation, equipment breakdown, theft, pesticide liability, and claim documentation folders</x:v>
      </x:c>
      <x:c r="L6" s="15" t="str">
        <x:v>Business owners and insurance agent</x:v>
      </x:c>
      <x:c r="M6" s="15" t="str">
        <x:v>Claim notice initiated within 24 hours of qualifying loss</x:v>
      </x:c>
      <x:c r="N6" s="15" t="str">
        <x:v>Current monthly inventory and asset records available for claim support</x:v>
      </x:c>
    </x:row>
    <x:row r="7">
      <x:c r="A7" s="15" t="str">
        <x:v>Safety</x:v>
      </x:c>
      <x:c r="B7" s="15" t="str">
        <x:v>Employee safety, pesticide application, ladders, forklift use, monthly safety reports, compliance records, daily operations</x:v>
      </x:c>
      <x:c r="C7" s="15" t="str">
        <x:v>Pesticide eye contact, pesticide inhalation, ladder fall, forklift incident, certification lapse, missed safety report</x:v>
      </x:c>
      <x:c r="D7" s="15" t="str">
        <x:v>Pesticide application requires certified employees, and ladders and forklifts create physical hazards</x:v>
      </x:c>
      <x:c r="E7" s="15" t="str">
        <x:v>Organic pesticide, mask, full jumpsuit, eye flushing instructions, certification maintenance, machinery certification, monthly safety reports, Occupational Safety and Health Administration based procedures</x:v>
      </x:c>
      <x:c r="F7" s="15" t="n">
        <x:v>3</x:v>
      </x:c>
      <x:c r="G7" s="15" t="n">
        <x:v>5</x:v>
      </x:c>
      <x:c r="H7" s="15" t="n">
        <x:f>F7*G7</x:f>
        <x:v>15</x:v>
      </x:c>
      <x:c r="I7" s="15" t="str">
        <x:f>IF(H7&gt;=12,"High",IF(H7&gt;=8,"Medium","Low"))</x:f>
        <x:v>High</x:v>
      </x:c>
      <x:c r="J7" s="15" t="str">
        <x:v>Mitigate</x:v>
      </x:c>
      <x:c r="K7" s="15" t="str">
        <x:v>Maintain safety data sheets, inspect personal protective equipment, verify eyewash access, log certification status, inspect ladders and forklifts, require near miss reporting</x:v>
      </x:c>
      <x:c r="L7" s="15" t="str">
        <x:v>Certified pesticide applicator and business owners</x:v>
      </x:c>
      <x:c r="M7" s="15" t="str">
        <x:v>Immediate first aid and hazard isolation</x:v>
      </x:c>
      <x:c r="N7" s="15" t="str">
        <x:v>Safety report and exposure record completed within 24 hours</x:v>
      </x:c>
    </x:row>
  </x:sheetData>
  <x:conditionalFormatting sqref="H2:H7">
    <x:cfRule type="dataBar" priority="1">
      <x:dataBar>
        <x:cfvo type="min"/>
        <x:cfvo type="max"/>
        <x:color rgb="60A5FA"/>
      </x:dataBar>
      <x:extLst>
        <x:ext xmlns:x14="http://schemas.microsoft.com/office/spreadsheetml/2009/9/main" uri="{B025F937-C7B1-47D3-B67F-A62EFF666E3E}">
          <x14:id>{286EABED-4A31-65FE-C310-E99AFBE89E71}</x14:id>
        </x:ext>
      </x:extLst>
    </x:cfRule>
  </x:conditionalFormatting>
  <x:pageMargins left="0.7" right="0.7" top="0.75" bottom="0.75" header="0.3" footer="0.3"/>
  <x:tableParts count="1">
    <x:tablePart xmlns:r="http://schemas.openxmlformats.org/officeDocument/2006/relationships" r:id="Rd4a7d6168eb0456a"/>
  </x:tableParts>
  <x:extLst>
    <x:ext xmlns:x14="http://schemas.microsoft.com/office/spreadsheetml/2009/9/main" xmlns:xm="http://schemas.microsoft.com/office/excel/2006/main" uri="{78C0D931-6437-407d-A8EE-F0AAD7539E65}">
      <x14:conditionalFormattings>
        <x14:conditionalFormatting>
          <x14:cfRule type="dataBar" priority="1" id="{286EABED-4A31-65FE-C310-E99AFBE89E71}">
            <x14:dataBar gradient="1">
              <x14:cfvo type="min"/>
              <x14:cfvo type="max"/>
              <x14:fillColor rgb="60A5FA"/>
            </x14:dataBar>
          </x14:cfRule>
          <xm:sqref>H2:H7</xm:sqref>
        </x14:conditionalFormatting>
      </x14:conditionalFormattings>
    </x:ext>
  </x:extLst>
</x:worksheet>
</file>

<file path=xl/worksheets/sheet3.xml><?xml version="1.0" encoding="utf-8"?>
<x:worksheet xmlns:x="http://schemas.openxmlformats.org/spreadsheetml/2006/main">
  <x:sheetFormatPr defaultRowHeight="15"/>
  <x:cols>
    <x:col min="1" max="1" width="18" hidden="0" customWidth="1"/>
    <x:col min="2" max="2" width="34" hidden="0" customWidth="1"/>
    <x:col min="3" max="3" width="15" hidden="0" customWidth="1"/>
    <x:col min="4" max="4" width="15" hidden="0" customWidth="1"/>
    <x:col min="5" max="5" width="15" hidden="0" customWidth="1"/>
    <x:col min="6" max="6" width="34" hidden="0" customWidth="1"/>
    <x:col min="7" max="7" width="16" hidden="0" customWidth="1"/>
    <x:col min="8" max="8" width="16" hidden="0" customWidth="1"/>
  </x:cols>
  <x:sheetData>
    <x:row r="1">
      <x:c r="A1" s="5" t="str">
        <x:v>Risk Area</x:v>
      </x:c>
      <x:c r="B1" s="5" t="str">
        <x:v>Control Recommendation</x:v>
      </x:c>
      <x:c r="C1" s="5" t="str">
        <x:v>CSF Function</x:v>
      </x:c>
      <x:c r="D1" s="5" t="str">
        <x:v>CSF Category</x:v>
      </x:c>
      <x:c r="E1" s="5" t="str">
        <x:v>Control Family</x:v>
      </x:c>
      <x:c r="F1" s="5" t="str">
        <x:v>Evidence to Keep</x:v>
      </x:c>
      <x:c r="G1" s="5" t="str">
        <x:v>Status</x:v>
      </x:c>
      <x:c r="H1" s="5" t="str">
        <x:v>Owner</x:v>
      </x:c>
    </x:row>
    <x:row r="2">
      <x:c r="A2" s="12" t="str">
        <x:v>Technology</x:v>
      </x:c>
      <x:c r="B2" s="12" t="str">
        <x:v>Add cellular backup for point of sale access</x:v>
      </x:c>
      <x:c r="C2" s="12" t="str">
        <x:v>Protect</x:v>
      </x:c>
      <x:c r="D2" s="12" t="str">
        <x:v>PR.PS, PR.DS</x:v>
      </x:c>
      <x:c r="E2" s="12" t="str">
        <x:v>CP, SC, IA</x:v>
      </x:c>
      <x:c r="F2" s="12" t="str">
        <x:v>Continuity test showing transaction processing during outage</x:v>
      </x:c>
      <x:c r="G2" s="12" t="str">
        <x:v>Not Started</x:v>
      </x:c>
      <x:c r="H2" s="12" t="str">
        <x:v>Business owners</x:v>
      </x:c>
    </x:row>
    <x:row r="3">
      <x:c r="A3" s="12" t="str">
        <x:v>Technology</x:v>
      </x:c>
      <x:c r="B3" s="12" t="str">
        <x:v>Require multifactor authentication for cloud systems</x:v>
      </x:c>
      <x:c r="C3" s="12" t="str">
        <x:v>Protect</x:v>
      </x:c>
      <x:c r="D3" s="12" t="str">
        <x:v>PR.AA</x:v>
      </x:c>
      <x:c r="E3" s="12" t="str">
        <x:v>IA</x:v>
      </x:c>
      <x:c r="F3" s="12" t="str">
        <x:v>Access configuration screenshot or policy statement</x:v>
      </x:c>
      <x:c r="G3" s="12" t="str">
        <x:v>Not Started</x:v>
      </x:c>
      <x:c r="H3" s="12" t="str">
        <x:v>Business owners</x:v>
      </x:c>
    </x:row>
    <x:row r="4">
      <x:c r="A4" s="12" t="str">
        <x:v>Technology</x:v>
      </x:c>
      <x:c r="B4" s="12" t="str">
        <x:v>Encrypt exported reports containing customer data</x:v>
      </x:c>
      <x:c r="C4" s="12" t="str">
        <x:v>Protect</x:v>
      </x:c>
      <x:c r="D4" s="12" t="str">
        <x:v>PR.DS</x:v>
      </x:c>
      <x:c r="E4" s="12" t="str">
        <x:v>SC</x:v>
      </x:c>
      <x:c r="F4" s="12" t="str">
        <x:v>Export procedure and sample sanitized report</x:v>
      </x:c>
      <x:c r="G4" s="12" t="str">
        <x:v>Not Started</x:v>
      </x:c>
      <x:c r="H4" s="12" t="str">
        <x:v>Business owners</x:v>
      </x:c>
    </x:row>
    <x:row r="5">
      <x:c r="A5" s="12" t="str">
        <x:v>Technology</x:v>
      </x:c>
      <x:c r="B5" s="12" t="str">
        <x:v>Secure outage paper forms in safe and reconcile before close</x:v>
      </x:c>
      <x:c r="C5" s="12" t="str">
        <x:v>Respond</x:v>
      </x:c>
      <x:c r="D5" s="12" t="str">
        <x:v>RS.CO, RS.AN</x:v>
      </x:c>
      <x:c r="E5" s="12" t="str">
        <x:v>IR, CP</x:v>
      </x:c>
      <x:c r="F5" s="12" t="str">
        <x:v>Daily reconciliation checklist</x:v>
      </x:c>
      <x:c r="G5" s="12" t="str">
        <x:v>Not Started</x:v>
      </x:c>
      <x:c r="H5" s="12" t="str">
        <x:v>Cash register employee</x:v>
      </x:c>
    </x:row>
    <x:row r="6">
      <x:c r="A6" s="12" t="str">
        <x:v>Asset Management</x:v>
      </x:c>
      <x:c r="B6" s="12" t="str">
        <x:v>Create daily Grow and Care to point of sale reconciliation</x:v>
      </x:c>
      <x:c r="C6" s="12" t="str">
        <x:v>Identify</x:v>
      </x:c>
      <x:c r="D6" s="12" t="str">
        <x:v>ID.AM, GV.OC</x:v>
      </x:c>
      <x:c r="E6" s="12" t="str">
        <x:v>CM, PM</x:v>
      </x:c>
      <x:c r="F6" s="12" t="str">
        <x:v>Completed closeout log</x:v>
      </x:c>
      <x:c r="G6" s="12" t="str">
        <x:v>Not Started</x:v>
      </x:c>
      <x:c r="H6" s="12" t="str">
        <x:v>Business owners</x:v>
      </x:c>
    </x:row>
    <x:row r="7">
      <x:c r="A7" s="12" t="str">
        <x:v>Asset Management</x:v>
      </x:c>
      <x:c r="B7" s="12" t="str">
        <x:v>Use unique plant identifiers for high value inventory</x:v>
      </x:c>
      <x:c r="C7" s="12" t="str">
        <x:v>Identify</x:v>
      </x:c>
      <x:c r="D7" s="12" t="str">
        <x:v>ID.AM</x:v>
      </x:c>
      <x:c r="E7" s="12" t="str">
        <x:v>CM</x:v>
      </x:c>
      <x:c r="F7" s="12" t="str">
        <x:v>Identifier format and sample record</x:v>
      </x:c>
      <x:c r="G7" s="12" t="str">
        <x:v>Not Started</x:v>
      </x:c>
      <x:c r="H7" s="12" t="str">
        <x:v>Plant care employees</x:v>
      </x:c>
    </x:row>
    <x:row r="8">
      <x:c r="A8" s="12" t="str">
        <x:v>Physical Security</x:v>
      </x:c>
      <x:c r="B8" s="12" t="str">
        <x:v>Add local camera storage and power support for network equipment</x:v>
      </x:c>
      <x:c r="C8" s="12" t="str">
        <x:v>Protect</x:v>
      </x:c>
      <x:c r="D8" s="12" t="str">
        <x:v>PR.PS</x:v>
      </x:c>
      <x:c r="E8" s="12" t="str">
        <x:v>PE, CP</x:v>
      </x:c>
      <x:c r="F8" s="12" t="str">
        <x:v>Camera test log and storage setting</x:v>
      </x:c>
      <x:c r="G8" s="12" t="str">
        <x:v>Not Started</x:v>
      </x:c>
      <x:c r="H8" s="12" t="str">
        <x:v>Business owners</x:v>
      </x:c>
    </x:row>
    <x:row r="9">
      <x:c r="A9" s="12" t="str">
        <x:v>Safety</x:v>
      </x:c>
      <x:c r="B9" s="12" t="str">
        <x:v>Maintain personal protective equipment inspection and certification logs</x:v>
      </x:c>
      <x:c r="C9" s="12" t="str">
        <x:v>Protect</x:v>
      </x:c>
      <x:c r="D9" s="12" t="str">
        <x:v>PR.AT, GV.RR</x:v>
      </x:c>
      <x:c r="E9" s="12" t="str">
        <x:v>AT, PM</x:v>
      </x:c>
      <x:c r="F9" s="12" t="str">
        <x:v>Inspection log and certification tracker</x:v>
      </x:c>
      <x:c r="G9" s="12" t="str">
        <x:v>Not Started</x:v>
      </x:c>
      <x:c r="H9" s="12" t="str">
        <x:v>Certified pesticide applicator</x:v>
      </x:c>
    </x:row>
    <x:row r="10">
      <x:c r="A10" s="12" t="str">
        <x:v>Insurance</x:v>
      </x:c>
      <x:c r="B10" s="12" t="str">
        <x:v>Review cyber liability and business interruption coverage annually</x:v>
      </x:c>
      <x:c r="C10" s="12" t="str">
        <x:v>Govern</x:v>
      </x:c>
      <x:c r="D10" s="12" t="str">
        <x:v>GV.RM, GV.RR</x:v>
      </x:c>
      <x:c r="E10" s="12" t="str">
        <x:v>PM, RA</x:v>
      </x:c>
      <x:c r="F10" s="12" t="str">
        <x:v>Coverage review checklist</x:v>
      </x:c>
      <x:c r="G10" s="12" t="str">
        <x:v>Not Started</x:v>
      </x:c>
      <x:c r="H10" s="12" t="str">
        <x:v>Business owners</x:v>
      </x:c>
    </x:row>
  </x:sheetData>
  <x:dataValidations count="1">
    <x:dataValidation type="list" sqref="G2:G10">
      <x:formula1>"Not Started,In Progress,Complete"</x:formula1>
    </x:dataValidation>
  </x:dataValidations>
  <x:pageMargins left="0.7" right="0.7" top="0.75" bottom="0.75" header="0.3" footer="0.3"/>
  <x:tableParts count="1">
    <x:tablePart xmlns:r="http://schemas.openxmlformats.org/officeDocument/2006/relationships" r:id="Rcd66f4c92d1844cb"/>
  </x:tableParts>
</x:worksheet>
</file>

<file path=xl/worksheets/sheet4.xml><?xml version="1.0" encoding="utf-8"?>
<x:worksheet xmlns:x="http://schemas.openxmlformats.org/spreadsheetml/2006/main">
  <x:sheetFormatPr defaultRowHeight="15"/>
  <x:cols>
    <x:col min="1" max="1" width="24" hidden="0" customWidth="1"/>
    <x:col min="2" max="2" width="34" hidden="0" customWidth="1"/>
    <x:col min="3" max="3" width="20" hidden="0" customWidth="1"/>
    <x:col min="4" max="4" width="20" hidden="0" customWidth="1"/>
    <x:col min="5" max="5" width="20" hidden="0" customWidth="1"/>
  </x:cols>
  <x:sheetData>
    <x:row r="1">
      <x:c r="A1" s="5" t="str">
        <x:v>Evidence Artifact</x:v>
      </x:c>
      <x:c r="B1" s="5" t="str">
        <x:v>Purpose</x:v>
      </x:c>
      <x:c r="C1" s="5" t="str">
        <x:v>Review Rhythm</x:v>
      </x:c>
      <x:c r="D1" s="5" t="str">
        <x:v>Related Risk</x:v>
      </x:c>
      <x:c r="E1" s="5" t="str">
        <x:v>Storage Note</x:v>
      </x:c>
    </x:row>
    <x:row r="2">
      <x:c r="A2" s="12" t="str">
        <x:v>Risk register</x:v>
      </x:c>
      <x:c r="B2" s="12" t="str">
        <x:v>Risk owner, score, response, treatment</x:v>
      </x:c>
      <x:c r="C2" s="12" t="str">
        <x:v>Every formal risk review</x:v>
      </x:c>
      <x:c r="D2" s="12" t="str">
        <x:v>All risks</x:v>
      </x:c>
      <x:c r="E2" s="12" t="str">
        <x:v>Keep sanitized copy for portfolio and working copy for analysis</x:v>
      </x:c>
    </x:row>
    <x:row r="3">
      <x:c r="A3" s="12" t="str">
        <x:v>Daily reconciliation log</x:v>
      </x:c>
      <x:c r="B3" s="12" t="str">
        <x:v>Point of sale and Grow and Care agreement</x:v>
      </x:c>
      <x:c r="C3" s="12" t="str">
        <x:v>Daily closeout</x:v>
      </x:c>
      <x:c r="D3" s="12" t="str">
        <x:v>Asset Management</x:v>
      </x:c>
      <x:c r="E3" s="12" t="str">
        <x:v>Store in business records folder</x:v>
      </x:c>
    </x:row>
    <x:row r="4">
      <x:c r="A4" s="12" t="str">
        <x:v>Outage transaction packet</x:v>
      </x:c>
      <x:c r="B4" s="12" t="str">
        <x:v>Paper forms, safe storage, reconciliation record</x:v>
      </x:c>
      <x:c r="C4" s="12" t="str">
        <x:v>Every point of sale outage</x:v>
      </x:c>
      <x:c r="D4" s="12" t="str">
        <x:v>Technology</x:v>
      </x:c>
      <x:c r="E4" s="12" t="str">
        <x:v>Store in safe until entered and verified</x:v>
      </x:c>
    </x:row>
    <x:row r="5">
      <x:c r="A5" s="12" t="str">
        <x:v>Camera test log</x:v>
      </x:c>
      <x:c r="B5" s="12" t="str">
        <x:v>Camera status, storage status, network power support</x:v>
      </x:c>
      <x:c r="C5" s="12" t="str">
        <x:v>Weekly</x:v>
      </x:c>
      <x:c r="D5" s="12" t="str">
        <x:v>Physical Security</x:v>
      </x:c>
      <x:c r="E5" s="12" t="str">
        <x:v>Store with security procedures</x:v>
      </x:c>
    </x:row>
    <x:row r="6">
      <x:c r="A6" s="12" t="str">
        <x:v>Safety inspection log</x:v>
      </x:c>
      <x:c r="B6" s="12" t="str">
        <x:v>Personal protective equipment, eyewash access, ladder and forklift checks</x:v>
      </x:c>
      <x:c r="C6" s="12" t="str">
        <x:v>Monthly or after incident</x:v>
      </x:c>
      <x:c r="D6" s="12" t="str">
        <x:v>Safety</x:v>
      </x:c>
      <x:c r="E6" s="12" t="str">
        <x:v>Store with safety reports</x:v>
      </x:c>
    </x:row>
    <x:row r="7">
      <x:c r="A7" s="12" t="str">
        <x:v>Insurance review checklist</x:v>
      </x:c>
      <x:c r="B7" s="12" t="str">
        <x:v>Coverage gaps, limits, claim documents, asset records</x:v>
      </x:c>
      <x:c r="C7" s="12" t="str">
        <x:v>Annual or after major change</x:v>
      </x:c>
      <x:c r="D7" s="12" t="str">
        <x:v>Insurance</x:v>
      </x:c>
      <x:c r="E7" s="12" t="str">
        <x:v>Store with policy documents</x:v>
      </x:c>
    </x:row>
  </x:sheetData>
  <x:pageMargins left="0.7" right="0.7" top="0.75" bottom="0.75" header="0.3" footer="0.3"/>
  <x:tableParts count="1">
    <x:tablePart xmlns:r="http://schemas.openxmlformats.org/officeDocument/2006/relationships" r:id="Rb8bd1ec853704d2e"/>
  </x:tableParts>
</x:worksheet>
</file>

<file path=xl/worksheets/sheet5.xml><?xml version="1.0" encoding="utf-8"?>
<x:worksheet xmlns:x="http://schemas.openxmlformats.org/spreadsheetml/2006/main">
  <x:sheetFormatPr defaultRowHeight="15"/>
  <x:cols>
    <x:col min="1" max="1" width="16" hidden="0" customWidth="1"/>
    <x:col min="2" max="2" width="24" hidden="0" customWidth="1"/>
    <x:col min="3" max="3" width="40" hidden="0" customWidth="1"/>
    <x:col min="4" max="4" width="40" hidden="0" customWidth="1"/>
  </x:cols>
  <x:sheetData>
    <x:row r="1">
      <x:c r="A1" s="5" t="str">
        <x:v>Timeframe</x:v>
      </x:c>
      <x:c r="B1" s="5" t="str">
        <x:v>Objective</x:v>
      </x:c>
      <x:c r="C1" s="5" t="str">
        <x:v>Actions</x:v>
      </x:c>
      <x:c r="D1" s="5" t="str">
        <x:v>Success Evidence</x:v>
      </x:c>
    </x:row>
    <x:row r="2">
      <x:c r="A2" s="12" t="str">
        <x:v>0 to 30 days</x:v>
      </x:c>
      <x:c r="B2" s="12" t="str">
        <x:v>Stabilize basic continuity</x:v>
      </x:c>
      <x:c r="C2" s="12" t="str">
        <x:v>Create minimum supply threshold, secure paper transaction process, list alternate vendors, document daily reconciliation steps</x:v>
      </x:c>
      <x:c r="D2" s="12" t="str">
        <x:v>Checklist completed and owners assigned</x:v>
      </x:c>
    </x:row>
    <x:row r="3">
      <x:c r="A3" s="12" t="str">
        <x:v>31 to 60 days</x:v>
      </x:c>
      <x:c r="B3" s="12" t="str">
        <x:v>Strengthen technology and evidence</x:v>
      </x:c>
      <x:c r="C3" s="12" t="str">
        <x:v>Add cellular backup, enable multifactor authentication, encrypt exports, test point of sale outage workflow, create correction log</x:v>
      </x:c>
      <x:c r="D3" s="12" t="str">
        <x:v>Outage test and access control evidence captured</x:v>
      </x:c>
    </x:row>
    <x:row r="4">
      <x:c r="A4" s="12" t="str">
        <x:v>61 to 90 days</x:v>
      </x:c>
      <x:c r="B4" s="12" t="str">
        <x:v>Formalize governance and review</x:v>
      </x:c>
      <x:c r="C4" s="12" t="str">
        <x:v>Review insurance, test camera storage, conduct tabletop exercise, review safety documentation, prepare quarterly risk update</x:v>
      </x:c>
      <x:c r="D4" s="12" t="str">
        <x:v>Quarterly review packet completed</x:v>
      </x:c>
    </x:row>
  </x:sheetData>
  <x:pageMargins left="0.7" right="0.7" top="0.75" bottom="0.75" header="0.3" footer="0.3"/>
  <x:tableParts count="1">
    <x:tablePart xmlns:r="http://schemas.openxmlformats.org/officeDocument/2006/relationships" r:id="Rf20855ba2e0d4e54"/>
  </x:tableParts>
</x:worksheet>
</file>

<file path=xl/worksheets/sheet6.xml><?xml version="1.0" encoding="utf-8"?>
<x:worksheet xmlns:x="http://schemas.openxmlformats.org/spreadsheetml/2006/main">
  <x:sheetFormatPr defaultRowHeight="15"/>
  <x:cols>
    <x:col min="1" max="1" width="27.31999969482422" hidden="0" customWidth="1"/>
    <x:col min="2" max="2" width="48" hidden="0" customWidth="1"/>
  </x:cols>
  <x:sheetData>
    <x:row r="1">
      <x:c r="A1" s="3" t="str">
        <x:v>Source</x:v>
      </x:c>
      <x:c r="B1" s="3" t="str">
        <x:v>URL</x:v>
      </x:c>
    </x:row>
    <x:row r="2">
      <x:c r="A2" t="str">
        <x:v>NIST SP 800 30 Revision 1</x:v>
      </x:c>
      <x:c r="B2" t="str">
        <x:v>https://doi.org/10.6028/NIST.SP.800-30r1</x:v>
      </x:c>
    </x:row>
    <x:row r="3">
      <x:c r="A3" t="str">
        <x:v>NIST Cybersecurity Framework 2.0</x:v>
      </x:c>
      <x:c r="B3" t="str">
        <x:v>https://doi.org/10.6028/NIST.CSWP.29</x:v>
      </x:c>
    </x:row>
    <x:row r="4">
      <x:c r="A4" t="str">
        <x:v>NIST SP 800 53 Revision 5</x:v>
      </x:c>
      <x:c r="B4" t="str">
        <x:v>https://doi.org/10.6028/NIST.SP.800-53r5</x:v>
      </x:c>
    </x:row>
    <x:row r="5">
      <x:c r="A5" t="str">
        <x:v>NIST SP 800 34 Revision 1</x:v>
      </x:c>
      <x:c r="B5" t="str">
        <x:v>https://doi.org/10.6028/NIST.SP.800-34r1</x:v>
      </x:c>
    </x:row>
  </x:sheetData>
  <x:pageMargins left="0.7" right="0.7" top="0.75" bottom="0.75" header="0.3" footer="0.3"/>
</x:worksheet>
</file>